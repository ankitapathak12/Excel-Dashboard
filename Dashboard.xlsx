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dmin\Desktop\DA\Excel\Dashbords\"/>
    </mc:Choice>
  </mc:AlternateContent>
  <xr:revisionPtr revIDLastSave="0" documentId="13_ncr:1_{6CAB320D-397C-4BFA-9A02-48F921D6D8F1}" xr6:coauthVersionLast="47" xr6:coauthVersionMax="47" xr10:uidLastSave="{00000000-0000-0000-0000-000000000000}"/>
  <bookViews>
    <workbookView xWindow="-120" yWindow="-120" windowWidth="20730" windowHeight="11160" xr2:uid="{234329EF-B79E-4A77-AFC5-A1F100622877}"/>
  </bookViews>
  <sheets>
    <sheet name="Dashboard" sheetId="2" r:id="rId1"/>
    <sheet name="Pivot table" sheetId="5" r:id="rId2"/>
    <sheet name="Data" sheetId="1"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<sst xmlns="http://schemas.openxmlformats.org/spreadsheetml/2006/main" count="232" uniqueCount="89">
  <si>
    <t>Order Date</t>
  </si>
  <si>
    <t>Ship Date</t>
  </si>
  <si>
    <t>Ship Mode</t>
  </si>
  <si>
    <t>Customer ID</t>
  </si>
  <si>
    <t>Customer Name</t>
  </si>
  <si>
    <t>Segment</t>
  </si>
  <si>
    <t>City</t>
  </si>
  <si>
    <t>State</t>
  </si>
  <si>
    <t>Region</t>
  </si>
  <si>
    <t>Category</t>
  </si>
  <si>
    <t>Sub-Category</t>
  </si>
  <si>
    <t>Sales</t>
  </si>
  <si>
    <t>Quantity</t>
  </si>
  <si>
    <t>Profit</t>
  </si>
  <si>
    <t>Second Class</t>
  </si>
  <si>
    <t>CG-12520</t>
  </si>
  <si>
    <t>Claire Gute</t>
  </si>
  <si>
    <t>Consumer</t>
  </si>
  <si>
    <t>Henderson</t>
  </si>
  <si>
    <t>Kentucky</t>
  </si>
  <si>
    <t>South</t>
  </si>
  <si>
    <t>Furniture</t>
  </si>
  <si>
    <t>Bookcases</t>
  </si>
  <si>
    <t>Chairs</t>
  </si>
  <si>
    <t>6-16-2017</t>
  </si>
  <si>
    <t>DV-13045</t>
  </si>
  <si>
    <t>Darrin Van Huff</t>
  </si>
  <si>
    <t>Corporate</t>
  </si>
  <si>
    <t>Los Angeles</t>
  </si>
  <si>
    <t>California</t>
  </si>
  <si>
    <t>West</t>
  </si>
  <si>
    <t>Office Supplies</t>
  </si>
  <si>
    <t>Labels</t>
  </si>
  <si>
    <t>10-18-2016</t>
  </si>
  <si>
    <t>Standard Class</t>
  </si>
  <si>
    <t>SO-20335</t>
  </si>
  <si>
    <t>Sean O'Donnell</t>
  </si>
  <si>
    <t>Fort Lauderdale</t>
  </si>
  <si>
    <t>Florida</t>
  </si>
  <si>
    <t>Tables</t>
  </si>
  <si>
    <t>Storage</t>
  </si>
  <si>
    <t>6-14-2015</t>
  </si>
  <si>
    <t>BH-11710</t>
  </si>
  <si>
    <t>Brosina Hoffman</t>
  </si>
  <si>
    <t>Furnishings</t>
  </si>
  <si>
    <t>Art</t>
  </si>
  <si>
    <t>Technology</t>
  </si>
  <si>
    <t>Phones</t>
  </si>
  <si>
    <t>Binders</t>
  </si>
  <si>
    <t>Appliances</t>
  </si>
  <si>
    <t>4-15-2018</t>
  </si>
  <si>
    <t>4-20-2018</t>
  </si>
  <si>
    <t>AA-10480</t>
  </si>
  <si>
    <t>Andrew Allen</t>
  </si>
  <si>
    <t>Concord</t>
  </si>
  <si>
    <t>North Carolina</t>
  </si>
  <si>
    <t>Paper</t>
  </si>
  <si>
    <t>IM-15070</t>
  </si>
  <si>
    <t>Irene Maddox</t>
  </si>
  <si>
    <t>Seattle</t>
  </si>
  <si>
    <t>Washington</t>
  </si>
  <si>
    <t>11-22-2016</t>
  </si>
  <si>
    <t>11-26-2016</t>
  </si>
  <si>
    <t>HP-14815</t>
  </si>
  <si>
    <t>Harold Pawlan</t>
  </si>
  <si>
    <t>Home Office</t>
  </si>
  <si>
    <t>Fort Worth</t>
  </si>
  <si>
    <t>Texas</t>
  </si>
  <si>
    <t>Central</t>
  </si>
  <si>
    <t>11-18-2015</t>
  </si>
  <si>
    <t>PK-19075</t>
  </si>
  <si>
    <t>Pete Kriz</t>
  </si>
  <si>
    <t>Madison</t>
  </si>
  <si>
    <t>Wisconsin</t>
  </si>
  <si>
    <t>5-13-2015</t>
  </si>
  <si>
    <t>5-15-2015</t>
  </si>
  <si>
    <t>AG-10270</t>
  </si>
  <si>
    <t>Alejandro Grove</t>
  </si>
  <si>
    <t>West Jordan</t>
  </si>
  <si>
    <t>Utah</t>
  </si>
  <si>
    <t>8-27-2015</t>
  </si>
  <si>
    <t>ZD-21925</t>
  </si>
  <si>
    <t>Zuschuss Donatelli</t>
  </si>
  <si>
    <t>San Francisco</t>
  </si>
  <si>
    <t>Row Labels</t>
  </si>
  <si>
    <t>Grand Total</t>
  </si>
  <si>
    <t>Column Labels</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</si>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</sst>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6"/>
      <color theme="0"/>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14" fontId="3" fillId="0" borderId="4" xfId="0" applyNumberFormat="1" applyFont="1" applyBorder="1"/>
    <xf numFmtId="0" fontId="3" fillId="0" borderId="4" xfId="0" applyFont="1"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3" borderId="5" xfId="0" applyFont="1" applyFill="1" applyBorder="1"/>
    <xf numFmtId="0" fontId="1" fillId="3" borderId="6" xfId="0" applyFont="1" applyFill="1" applyBorder="1" applyAlignment="1">
      <alignment horizontal="left"/>
    </xf>
    <xf numFmtId="0" fontId="0" fillId="0" borderId="0" xfId="0" applyNumberFormat="1"/>
  </cellXfs>
  <cellStyles count="1">
    <cellStyle name="Normal" xfId="0" builtinId="0"/>
  </cellStyles>
  <dxfs count="25">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i val="0"/>
        <sz val="14"/>
        <name val="Aptos Narrow"/>
        <family val="2"/>
        <scheme val="minor"/>
      </font>
    </dxf>
    <dxf>
      <font>
        <b/>
        <i val="0"/>
      </font>
    </dxf>
    <dxf>
      <font>
        <name val="Cambria Math"/>
        <family val="1"/>
        <scheme val="none"/>
      </font>
    </dxf>
    <dxf>
      <font>
        <sz val="14"/>
      </font>
    </dxf>
    <dxf>
      <font>
        <sz val="12"/>
      </font>
    </dxf>
    <dxf>
      <font>
        <color theme="3" tint="0.89996032593768116"/>
      </font>
    </dxf>
    <dxf>
      <font>
        <color rgb="FF33CCFF"/>
      </font>
    </dxf>
  </dxfs>
  <tableStyles count="7" defaultTableStyle="TableStyleMedium2" defaultPivotStyle="PivotStyleLight16">
    <tableStyle name="Slicer Style 1" pivot="0" table="0" count="1" xr9:uid="{6DDEB6F1-599F-4D2C-BD4D-948B4274488B}">
      <tableStyleElement type="wholeTable" dxfId="24"/>
    </tableStyle>
    <tableStyle name="Slicer Style 2" pivot="0" table="0" count="1" xr9:uid="{58D71952-17B6-49C7-B64C-43690290BADB}">
      <tableStyleElement type="wholeTable" dxfId="23"/>
    </tableStyle>
    <tableStyle name="Slicer Style 3" pivot="0" table="0" count="1" xr9:uid="{1D555F96-F4DE-4366-8C9D-33AF7AD74728}">
      <tableStyleElement type="wholeTable" dxfId="22"/>
    </tableStyle>
    <tableStyle name="Slicer Style 4" pivot="0" table="0" count="1" xr9:uid="{3999ADB4-E2C6-4888-8A3F-9E7C9DDB0D50}">
      <tableStyleElement type="wholeTable" dxfId="21"/>
    </tableStyle>
    <tableStyle name="Slicer Style 5" pivot="0" table="0" count="1" xr9:uid="{01655BD6-A13B-4BFD-80E2-5EF182F6B043}">
      <tableStyleElement type="wholeTable" dxfId="20"/>
    </tableStyle>
    <tableStyle name="Slicer Style 6" pivot="0" table="0" count="1" xr9:uid="{37D6358B-18FB-4036-B0BD-595D63E59F17}">
      <tableStyleElement type="wholeTable" dxfId="19"/>
    </tableStyle>
    <tableStyle name="Slicer Style 7" pivot="0" table="0" count="1" xr9:uid="{B18E020C-DAA7-4366-B6D2-472E18CED302}">
      <tableStyleElement type="wholeTable" dxfId="18"/>
    </tableStyle>
  </tableStyles>
  <colors>
    <mruColors>
      <color rgb="FF33CCFF"/>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898782663767965"/>
          <c:y val="0.14722222222222225"/>
          <c:w val="0.69772419072615921"/>
          <c:h val="0.7410314673276871"/>
        </c:manualLayout>
      </c:layout>
      <c:pie3DChart>
        <c:varyColors val="1"/>
        <c:ser>
          <c:idx val="0"/>
          <c:order val="0"/>
          <c:tx>
            <c:strRef>
              <c:f>'Pivot table'!$B$29</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FCFE-438F-B3A7-CAF7740B8FC3}"/>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1-FCFE-438F-B3A7-CAF7740B8FC3}"/>
              </c:ext>
            </c:extLst>
          </c:dPt>
          <c:dLbls>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0-FCFE-438F-B3A7-CAF7740B8FC3}"/>
                </c:ext>
              </c:extLst>
            </c:dLbl>
            <c:dLbl>
              <c:idx val="1"/>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1-FCFE-438F-B3A7-CAF7740B8FC3}"/>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table'!$A$30:$A$32</c:f>
              <c:strCache>
                <c:ptCount val="2"/>
                <c:pt idx="0">
                  <c:v>South</c:v>
                </c:pt>
                <c:pt idx="1">
                  <c:v>West</c:v>
                </c:pt>
              </c:strCache>
            </c:strRef>
          </c:cat>
          <c:val>
            <c:numRef>
              <c:f>'Pivot table'!$B$30:$B$32</c:f>
              <c:numCache>
                <c:formatCode>General</c:formatCode>
                <c:ptCount val="2"/>
                <c:pt idx="0">
                  <c:v>1951.4775</c:v>
                </c:pt>
                <c:pt idx="1">
                  <c:v>1755.0439999999999</c:v>
                </c:pt>
              </c:numCache>
            </c:numRef>
          </c:val>
          <c:extLst>
            <c:ext xmlns:c16="http://schemas.microsoft.com/office/drawing/2014/chart" uri="{C3380CC4-5D6E-409C-BE32-E72D297353CC}">
              <c16:uniqueId val="{00000000-DC16-4F32-8C38-1119AC570DFD}"/>
            </c:ext>
          </c:extLst>
        </c:ser>
        <c:dLbls>
          <c:dLblPos val="ctr"/>
          <c:showLegendKey val="0"/>
          <c:showVal val="1"/>
          <c:showCatName val="0"/>
          <c:showSerName val="0"/>
          <c:showPercent val="0"/>
          <c:showBubbleSize val="0"/>
          <c:showLeaderLines val="1"/>
        </c:dLbls>
      </c:pie3DChart>
      <c:spPr>
        <a:solidFill>
          <a:schemeClr val="bg1">
            <a:lumMod val="75000"/>
          </a:schemeClr>
        </a:solidFill>
        <a:ln>
          <a:noFill/>
        </a:ln>
        <a:effectLst/>
      </c:spPr>
    </c:plotArea>
    <c:legend>
      <c:legendPos val="l"/>
      <c:overlay val="0"/>
      <c:spPr>
        <a:noFill/>
        <a:ln>
          <a:noFill/>
        </a:ln>
        <a:effectLst>
          <a:outerShdw blurRad="50800" dist="50800" dir="5400000" algn="ctr" rotWithShape="0">
            <a:schemeClr val="bg1">
              <a:lumMod val="65000"/>
            </a:schemeClr>
          </a:outerShdw>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table'!$N$18</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table'!$M$19:$M$22</c:f>
              <c:strCache>
                <c:ptCount val="3"/>
                <c:pt idx="0">
                  <c:v>Fort Lauderdale</c:v>
                </c:pt>
                <c:pt idx="1">
                  <c:v>Henderson</c:v>
                </c:pt>
                <c:pt idx="2">
                  <c:v>Los Angeles</c:v>
                </c:pt>
              </c:strCache>
            </c:strRef>
          </c:cat>
          <c:val>
            <c:numRef>
              <c:f>'Pivot table'!$N$19:$N$22</c:f>
              <c:numCache>
                <c:formatCode>General</c:formatCode>
                <c:ptCount val="3"/>
                <c:pt idx="0">
                  <c:v>957.57749999999999</c:v>
                </c:pt>
                <c:pt idx="1">
                  <c:v>993.90000000000009</c:v>
                </c:pt>
                <c:pt idx="2">
                  <c:v>1755.0439999999999</c:v>
                </c:pt>
              </c:numCache>
            </c:numRef>
          </c:val>
          <c:extLst>
            <c:ext xmlns:c16="http://schemas.microsoft.com/office/drawing/2014/chart" uri="{C3380CC4-5D6E-409C-BE32-E72D297353CC}">
              <c16:uniqueId val="{00000000-0DEF-4A3E-9167-736177A1C1AE}"/>
            </c:ext>
          </c:extLst>
        </c:ser>
        <c:ser>
          <c:idx val="1"/>
          <c:order val="1"/>
          <c:tx>
            <c:strRef>
              <c:f>'Pivot table'!$O$18</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table'!$M$19:$M$22</c:f>
              <c:strCache>
                <c:ptCount val="3"/>
                <c:pt idx="0">
                  <c:v>Fort Lauderdale</c:v>
                </c:pt>
                <c:pt idx="1">
                  <c:v>Henderson</c:v>
                </c:pt>
                <c:pt idx="2">
                  <c:v>Los Angeles</c:v>
                </c:pt>
              </c:strCache>
            </c:strRef>
          </c:cat>
          <c:val>
            <c:numRef>
              <c:f>'Pivot table'!$O$19:$O$22</c:f>
              <c:numCache>
                <c:formatCode>General</c:formatCode>
                <c:ptCount val="3"/>
                <c:pt idx="0">
                  <c:v>-383.03100000000001</c:v>
                </c:pt>
                <c:pt idx="1">
                  <c:v>261.49559999999997</c:v>
                </c:pt>
                <c:pt idx="2">
                  <c:v>99.4786</c:v>
                </c:pt>
              </c:numCache>
            </c:numRef>
          </c:val>
          <c:extLst>
            <c:ext xmlns:c16="http://schemas.microsoft.com/office/drawing/2014/chart" uri="{C3380CC4-5D6E-409C-BE32-E72D297353CC}">
              <c16:uniqueId val="{00000001-0DEF-4A3E-9167-736177A1C1AE}"/>
            </c:ext>
          </c:extLst>
        </c:ser>
        <c:dLbls>
          <c:dLblPos val="outEnd"/>
          <c:showLegendKey val="0"/>
          <c:showVal val="1"/>
          <c:showCatName val="0"/>
          <c:showSerName val="0"/>
          <c:showPercent val="0"/>
          <c:showBubbleSize val="0"/>
        </c:dLbls>
        <c:gapWidth val="100"/>
        <c:overlap val="-24"/>
        <c:axId val="1199224031"/>
        <c:axId val="1199216351"/>
      </c:barChart>
      <c:catAx>
        <c:axId val="119922403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216351"/>
        <c:crosses val="autoZero"/>
        <c:auto val="1"/>
        <c:lblAlgn val="ctr"/>
        <c:lblOffset val="100"/>
        <c:noMultiLvlLbl val="0"/>
      </c:catAx>
      <c:valAx>
        <c:axId val="1199216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22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027580927384075"/>
          <c:y val="0.17191374348986413"/>
          <c:w val="0.69772419072615921"/>
          <c:h val="0.7410314673276871"/>
        </c:manualLayout>
      </c:layout>
      <c:bar3DChart>
        <c:barDir val="bar"/>
        <c:grouping val="clustered"/>
        <c:varyColors val="0"/>
        <c:ser>
          <c:idx val="0"/>
          <c:order val="0"/>
          <c:tx>
            <c:strRef>
              <c:f>'Pivot table'!$B$29</c:f>
              <c:strCache>
                <c:ptCount val="1"/>
                <c:pt idx="0">
                  <c:v>Total</c:v>
                </c:pt>
              </c:strCache>
            </c:strRef>
          </c:tx>
          <c:spPr>
            <a:solidFill>
              <a:schemeClr val="accent1"/>
            </a:solidFill>
            <a:ln>
              <a:noFill/>
            </a:ln>
            <a:effectLst/>
            <a:sp3d/>
          </c:spPr>
          <c:invertIfNegative val="0"/>
          <c:cat>
            <c:strRef>
              <c:f>'Pivot table'!$A$30:$A$32</c:f>
              <c:strCache>
                <c:ptCount val="2"/>
                <c:pt idx="0">
                  <c:v>South</c:v>
                </c:pt>
                <c:pt idx="1">
                  <c:v>West</c:v>
                </c:pt>
              </c:strCache>
            </c:strRef>
          </c:cat>
          <c:val>
            <c:numRef>
              <c:f>'Pivot table'!$B$30:$B$32</c:f>
              <c:numCache>
                <c:formatCode>General</c:formatCode>
                <c:ptCount val="2"/>
                <c:pt idx="0">
                  <c:v>1951.4775</c:v>
                </c:pt>
                <c:pt idx="1">
                  <c:v>1755.0439999999999</c:v>
                </c:pt>
              </c:numCache>
            </c:numRef>
          </c:val>
          <c:extLst>
            <c:ext xmlns:c16="http://schemas.microsoft.com/office/drawing/2014/chart" uri="{C3380CC4-5D6E-409C-BE32-E72D297353CC}">
              <c16:uniqueId val="{00000000-EC5A-4609-BBE5-A26A56B937AA}"/>
            </c:ext>
          </c:extLst>
        </c:ser>
        <c:dLbls>
          <c:showLegendKey val="0"/>
          <c:showVal val="0"/>
          <c:showCatName val="0"/>
          <c:showSerName val="0"/>
          <c:showPercent val="0"/>
          <c:showBubbleSize val="0"/>
        </c:dLbls>
        <c:gapWidth val="150"/>
        <c:shape val="box"/>
        <c:axId val="1107039615"/>
        <c:axId val="1107040575"/>
        <c:axId val="0"/>
      </c:bar3DChart>
      <c:catAx>
        <c:axId val="110703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40575"/>
        <c:crosses val="autoZero"/>
        <c:auto val="1"/>
        <c:lblAlgn val="ctr"/>
        <c:lblOffset val="100"/>
        <c:noMultiLvlLbl val="0"/>
      </c:catAx>
      <c:valAx>
        <c:axId val="1107040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3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6"/>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table'!$N$18</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table'!$M$19:$M$22</c:f>
              <c:strCache>
                <c:ptCount val="3"/>
                <c:pt idx="0">
                  <c:v>Fort Lauderdale</c:v>
                </c:pt>
                <c:pt idx="1">
                  <c:v>Henderson</c:v>
                </c:pt>
                <c:pt idx="2">
                  <c:v>Los Angeles</c:v>
                </c:pt>
              </c:strCache>
            </c:strRef>
          </c:cat>
          <c:val>
            <c:numRef>
              <c:f>'Pivot table'!$N$19:$N$22</c:f>
              <c:numCache>
                <c:formatCode>General</c:formatCode>
                <c:ptCount val="3"/>
                <c:pt idx="0">
                  <c:v>957.57749999999999</c:v>
                </c:pt>
                <c:pt idx="1">
                  <c:v>993.90000000000009</c:v>
                </c:pt>
                <c:pt idx="2">
                  <c:v>1755.0439999999999</c:v>
                </c:pt>
              </c:numCache>
            </c:numRef>
          </c:val>
          <c:extLst>
            <c:ext xmlns:c16="http://schemas.microsoft.com/office/drawing/2014/chart" uri="{C3380CC4-5D6E-409C-BE32-E72D297353CC}">
              <c16:uniqueId val="{00000000-8E28-492A-9BE7-EDF43A5ABA47}"/>
            </c:ext>
          </c:extLst>
        </c:ser>
        <c:ser>
          <c:idx val="1"/>
          <c:order val="1"/>
          <c:tx>
            <c:strRef>
              <c:f>'Pivot table'!$O$18</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table'!$M$19:$M$22</c:f>
              <c:strCache>
                <c:ptCount val="3"/>
                <c:pt idx="0">
                  <c:v>Fort Lauderdale</c:v>
                </c:pt>
                <c:pt idx="1">
                  <c:v>Henderson</c:v>
                </c:pt>
                <c:pt idx="2">
                  <c:v>Los Angeles</c:v>
                </c:pt>
              </c:strCache>
            </c:strRef>
          </c:cat>
          <c:val>
            <c:numRef>
              <c:f>'Pivot table'!$O$19:$O$22</c:f>
              <c:numCache>
                <c:formatCode>General</c:formatCode>
                <c:ptCount val="3"/>
                <c:pt idx="0">
                  <c:v>-383.03100000000001</c:v>
                </c:pt>
                <c:pt idx="1">
                  <c:v>261.49559999999997</c:v>
                </c:pt>
                <c:pt idx="2">
                  <c:v>99.4786</c:v>
                </c:pt>
              </c:numCache>
            </c:numRef>
          </c:val>
          <c:extLst>
            <c:ext xmlns:c16="http://schemas.microsoft.com/office/drawing/2014/chart" uri="{C3380CC4-5D6E-409C-BE32-E72D297353CC}">
              <c16:uniqueId val="{00000001-8E28-492A-9BE7-EDF43A5ABA47}"/>
            </c:ext>
          </c:extLst>
        </c:ser>
        <c:dLbls>
          <c:showLegendKey val="0"/>
          <c:showVal val="0"/>
          <c:showCatName val="0"/>
          <c:showSerName val="0"/>
          <c:showPercent val="0"/>
          <c:showBubbleSize val="0"/>
        </c:dLbls>
        <c:gapWidth val="100"/>
        <c:overlap val="-24"/>
        <c:axId val="1199224031"/>
        <c:axId val="1199216351"/>
      </c:barChart>
      <c:catAx>
        <c:axId val="1199224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216351"/>
        <c:crosses val="autoZero"/>
        <c:auto val="1"/>
        <c:lblAlgn val="ctr"/>
        <c:lblOffset val="100"/>
        <c:noMultiLvlLbl val="0"/>
      </c:catAx>
      <c:valAx>
        <c:axId val="1199216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22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95250</xdr:rowOff>
    </xdr:from>
    <xdr:to>
      <xdr:col>20</xdr:col>
      <xdr:colOff>228600</xdr:colOff>
      <xdr:row>21</xdr:row>
      <xdr:rowOff>57150</xdr:rowOff>
    </xdr:to>
    <xdr:sp macro="" textlink="">
      <xdr:nvSpPr>
        <xdr:cNvPr id="4" name="Rectangle: Rounded Corners 3">
          <a:extLst>
            <a:ext uri="{FF2B5EF4-FFF2-40B4-BE49-F238E27FC236}">
              <a16:creationId xmlns:a16="http://schemas.microsoft.com/office/drawing/2014/main" id="{1821CF1E-3447-A78A-E486-61A0F67FB4D9}"/>
            </a:ext>
          </a:extLst>
        </xdr:cNvPr>
        <xdr:cNvSpPr/>
      </xdr:nvSpPr>
      <xdr:spPr>
        <a:xfrm>
          <a:off x="0" y="95250"/>
          <a:ext cx="12420600" cy="3962400"/>
        </a:xfrm>
        <a:prstGeom prst="roundRect">
          <a:avLst/>
        </a:prstGeom>
        <a:ln>
          <a:noFill/>
        </a:ln>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581025</xdr:colOff>
      <xdr:row>0</xdr:row>
      <xdr:rowOff>133350</xdr:rowOff>
    </xdr:from>
    <xdr:to>
      <xdr:col>20</xdr:col>
      <xdr:colOff>161925</xdr:colOff>
      <xdr:row>20</xdr:row>
      <xdr:rowOff>152400</xdr:rowOff>
    </xdr:to>
    <xdr:sp macro="" textlink="">
      <xdr:nvSpPr>
        <xdr:cNvPr id="5" name="Rectangle: Rounded Corners 4">
          <a:extLst>
            <a:ext uri="{FF2B5EF4-FFF2-40B4-BE49-F238E27FC236}">
              <a16:creationId xmlns:a16="http://schemas.microsoft.com/office/drawing/2014/main" id="{D0B5542A-C727-4569-A0D7-F55601B2C686}"/>
            </a:ext>
          </a:extLst>
        </xdr:cNvPr>
        <xdr:cNvSpPr/>
      </xdr:nvSpPr>
      <xdr:spPr>
        <a:xfrm>
          <a:off x="2409825" y="133350"/>
          <a:ext cx="9944100" cy="382905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solidFill>
              <a:srgbClr val="FF0000"/>
            </a:solidFill>
          </a:endParaRPr>
        </a:p>
      </xdr:txBody>
    </xdr:sp>
    <xdr:clientData/>
  </xdr:twoCellAnchor>
  <xdr:twoCellAnchor editAs="oneCell">
    <xdr:from>
      <xdr:col>4</xdr:col>
      <xdr:colOff>552450</xdr:colOff>
      <xdr:row>1</xdr:row>
      <xdr:rowOff>161925</xdr:rowOff>
    </xdr:from>
    <xdr:to>
      <xdr:col>7</xdr:col>
      <xdr:colOff>66675</xdr:colOff>
      <xdr:row>8</xdr:row>
      <xdr:rowOff>66675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70FCC529-4D30-458D-A30B-2337A1531D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90850" y="352425"/>
              <a:ext cx="134302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180974</xdr:colOff>
      <xdr:row>5</xdr:row>
      <xdr:rowOff>0</xdr:rowOff>
    </xdr:from>
    <xdr:to>
      <xdr:col>3</xdr:col>
      <xdr:colOff>342899</xdr:colOff>
      <xdr:row>7</xdr:row>
      <xdr:rowOff>142875</xdr:rowOff>
    </xdr:to>
    <xdr:sp macro="" textlink="">
      <xdr:nvSpPr>
        <xdr:cNvPr id="7" name="Rectangle: Rounded Corners 6">
          <a:extLst>
            <a:ext uri="{FF2B5EF4-FFF2-40B4-BE49-F238E27FC236}">
              <a16:creationId xmlns:a16="http://schemas.microsoft.com/office/drawing/2014/main" id="{3C76C86C-3D84-A0A9-E33D-52BDC8D664FD}"/>
            </a:ext>
          </a:extLst>
        </xdr:cNvPr>
        <xdr:cNvSpPr/>
      </xdr:nvSpPr>
      <xdr:spPr>
        <a:xfrm>
          <a:off x="180974" y="952500"/>
          <a:ext cx="1990725" cy="523875"/>
        </a:xfrm>
        <a:prstGeom prst="roundRect">
          <a:avLst/>
        </a:prstGeom>
        <a:ln w="19050">
          <a:solidFill>
            <a:schemeClr val="tx1"/>
          </a:solidFill>
        </a:ln>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en-IN" sz="1600">
              <a:solidFill>
                <a:schemeClr val="tx2">
                  <a:lumMod val="75000"/>
                  <a:lumOff val="25000"/>
                </a:schemeClr>
              </a:solidFill>
              <a:latin typeface="Book Antiqua" panose="02040602050305030304" pitchFamily="18" charset="0"/>
            </a:rPr>
            <a:t>Dashboard</a:t>
          </a:r>
        </a:p>
      </xdr:txBody>
    </xdr:sp>
    <xdr:clientData/>
  </xdr:twoCellAnchor>
  <xdr:twoCellAnchor>
    <xdr:from>
      <xdr:col>0</xdr:col>
      <xdr:colOff>161925</xdr:colOff>
      <xdr:row>9</xdr:row>
      <xdr:rowOff>85725</xdr:rowOff>
    </xdr:from>
    <xdr:to>
      <xdr:col>3</xdr:col>
      <xdr:colOff>323850</xdr:colOff>
      <xdr:row>12</xdr:row>
      <xdr:rowOff>38100</xdr:rowOff>
    </xdr:to>
    <xdr:sp macro="" textlink="">
      <xdr:nvSpPr>
        <xdr:cNvPr id="8" name="Rectangle: Rounded Corners 7">
          <a:extLst>
            <a:ext uri="{FF2B5EF4-FFF2-40B4-BE49-F238E27FC236}">
              <a16:creationId xmlns:a16="http://schemas.microsoft.com/office/drawing/2014/main" id="{BBE1CA65-9C6D-44C6-BFAA-CBBFB91A511E}"/>
            </a:ext>
          </a:extLst>
        </xdr:cNvPr>
        <xdr:cNvSpPr/>
      </xdr:nvSpPr>
      <xdr:spPr>
        <a:xfrm>
          <a:off x="161925" y="1800225"/>
          <a:ext cx="1990725" cy="523875"/>
        </a:xfrm>
        <a:prstGeom prst="roundRect">
          <a:avLst/>
        </a:prstGeom>
        <a:ln w="19050">
          <a:solidFill>
            <a:schemeClr val="bg1"/>
          </a:solidFill>
        </a:ln>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ctr"/>
        <a:lstStyle/>
        <a:p>
          <a:pPr algn="ctr"/>
          <a:r>
            <a:rPr lang="en-IN" sz="1600">
              <a:solidFill>
                <a:schemeClr val="bg1">
                  <a:lumMod val="95000"/>
                </a:schemeClr>
              </a:solidFill>
              <a:latin typeface="Book Antiqua" panose="02040602050305030304" pitchFamily="18" charset="0"/>
              <a:ea typeface="+mn-ea"/>
              <a:cs typeface="+mn-cs"/>
            </a:rPr>
            <a:t>Regionwise</a:t>
          </a:r>
          <a:r>
            <a:rPr lang="en-IN" sz="1100" baseline="0"/>
            <a:t>  </a:t>
          </a:r>
          <a:r>
            <a:rPr lang="en-IN" sz="1600">
              <a:solidFill>
                <a:schemeClr val="bg1">
                  <a:lumMod val="95000"/>
                </a:schemeClr>
              </a:solidFill>
              <a:latin typeface="Book Antiqua" panose="02040602050305030304" pitchFamily="18" charset="0"/>
              <a:ea typeface="+mn-ea"/>
              <a:cs typeface="+mn-cs"/>
            </a:rPr>
            <a:t>Sales</a:t>
          </a:r>
        </a:p>
      </xdr:txBody>
    </xdr:sp>
    <xdr:clientData/>
  </xdr:twoCellAnchor>
  <xdr:twoCellAnchor>
    <xdr:from>
      <xdr:col>0</xdr:col>
      <xdr:colOff>180975</xdr:colOff>
      <xdr:row>13</xdr:row>
      <xdr:rowOff>180975</xdr:rowOff>
    </xdr:from>
    <xdr:to>
      <xdr:col>3</xdr:col>
      <xdr:colOff>342900</xdr:colOff>
      <xdr:row>16</xdr:row>
      <xdr:rowOff>133350</xdr:rowOff>
    </xdr:to>
    <xdr:sp macro="" textlink="">
      <xdr:nvSpPr>
        <xdr:cNvPr id="9" name="Rectangle: Rounded Corners 8">
          <a:extLst>
            <a:ext uri="{FF2B5EF4-FFF2-40B4-BE49-F238E27FC236}">
              <a16:creationId xmlns:a16="http://schemas.microsoft.com/office/drawing/2014/main" id="{B5A165E1-CBB8-4527-9FB6-9E9463A45EA5}"/>
            </a:ext>
          </a:extLst>
        </xdr:cNvPr>
        <xdr:cNvSpPr/>
      </xdr:nvSpPr>
      <xdr:spPr>
        <a:xfrm>
          <a:off x="180975" y="2657475"/>
          <a:ext cx="1990725" cy="523875"/>
        </a:xfrm>
        <a:prstGeom prst="roundRect">
          <a:avLst/>
        </a:prstGeom>
        <a:ln w="19050">
          <a:solidFill>
            <a:schemeClr val="bg1"/>
          </a:solidFill>
        </a:ln>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ctr"/>
        <a:lstStyle/>
        <a:p>
          <a:pPr algn="ctr"/>
          <a:r>
            <a:rPr lang="en-IN" sz="1600">
              <a:solidFill>
                <a:schemeClr val="bg1">
                  <a:lumMod val="95000"/>
                </a:schemeClr>
              </a:solidFill>
              <a:latin typeface="Book Antiqua" panose="02040602050305030304" pitchFamily="18" charset="0"/>
              <a:ea typeface="+mn-ea"/>
              <a:cs typeface="+mn-cs"/>
            </a:rPr>
            <a:t>Profit</a:t>
          </a:r>
        </a:p>
      </xdr:txBody>
    </xdr:sp>
    <xdr:clientData/>
  </xdr:twoCellAnchor>
  <xdr:twoCellAnchor editAs="oneCell">
    <xdr:from>
      <xdr:col>7</xdr:col>
      <xdr:colOff>361950</xdr:colOff>
      <xdr:row>2</xdr:row>
      <xdr:rowOff>47625</xdr:rowOff>
    </xdr:from>
    <xdr:to>
      <xdr:col>14</xdr:col>
      <xdr:colOff>180975</xdr:colOff>
      <xdr:row>5</xdr:row>
      <xdr:rowOff>171450</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74B86775-1D2B-43E6-8C42-FDAC71B38F3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29150" y="428625"/>
              <a:ext cx="4086225"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495299</xdr:colOff>
      <xdr:row>9</xdr:row>
      <xdr:rowOff>47625</xdr:rowOff>
    </xdr:from>
    <xdr:to>
      <xdr:col>11</xdr:col>
      <xdr:colOff>333374</xdr:colOff>
      <xdr:row>20</xdr:row>
      <xdr:rowOff>9525</xdr:rowOff>
    </xdr:to>
    <xdr:graphicFrame macro="">
      <xdr:nvGraphicFramePr>
        <xdr:cNvPr id="11" name="Chart 10">
          <a:extLst>
            <a:ext uri="{FF2B5EF4-FFF2-40B4-BE49-F238E27FC236}">
              <a16:creationId xmlns:a16="http://schemas.microsoft.com/office/drawing/2014/main" id="{F4D78B23-21D9-4730-A403-040A18DF3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219074</xdr:colOff>
      <xdr:row>6</xdr:row>
      <xdr:rowOff>180975</xdr:rowOff>
    </xdr:from>
    <xdr:to>
      <xdr:col>9</xdr:col>
      <xdr:colOff>228599</xdr:colOff>
      <xdr:row>8</xdr:row>
      <xdr:rowOff>152400</xdr:rowOff>
    </xdr:to>
    <xdr:sp macro="" textlink="">
      <xdr:nvSpPr>
        <xdr:cNvPr id="12" name="Flowchart: Alternate Process 11">
          <a:extLst>
            <a:ext uri="{FF2B5EF4-FFF2-40B4-BE49-F238E27FC236}">
              <a16:creationId xmlns:a16="http://schemas.microsoft.com/office/drawing/2014/main" id="{26C80EB4-84B5-E4C1-CFF9-CE5B4C905F48}"/>
            </a:ext>
          </a:extLst>
        </xdr:cNvPr>
        <xdr:cNvSpPr/>
      </xdr:nvSpPr>
      <xdr:spPr>
        <a:xfrm>
          <a:off x="4486274" y="1323975"/>
          <a:ext cx="1228725" cy="352425"/>
        </a:xfrm>
        <a:prstGeom prst="flowChartAlternate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ook Antiqua" panose="02040602050305030304" pitchFamily="18" charset="0"/>
            </a:rPr>
            <a:t>$ </a:t>
          </a:r>
          <a:r>
            <a:rPr lang="en-IN" sz="18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Book Antiqua" panose="02040602050305030304" pitchFamily="18" charset="0"/>
            </a:rPr>
            <a:t>Sales</a:t>
          </a:r>
          <a:endParaRPr lang="en-IN"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ook Antiqua" panose="02040602050305030304" pitchFamily="18" charset="0"/>
          </a:endParaRPr>
        </a:p>
      </xdr:txBody>
    </xdr:sp>
    <xdr:clientData/>
  </xdr:twoCellAnchor>
  <xdr:twoCellAnchor>
    <xdr:from>
      <xdr:col>12</xdr:col>
      <xdr:colOff>209550</xdr:colOff>
      <xdr:row>6</xdr:row>
      <xdr:rowOff>114299</xdr:rowOff>
    </xdr:from>
    <xdr:to>
      <xdr:col>19</xdr:col>
      <xdr:colOff>514350</xdr:colOff>
      <xdr:row>19</xdr:row>
      <xdr:rowOff>180974</xdr:rowOff>
    </xdr:to>
    <xdr:graphicFrame macro="">
      <xdr:nvGraphicFramePr>
        <xdr:cNvPr id="13" name="Chart 12">
          <a:extLst>
            <a:ext uri="{FF2B5EF4-FFF2-40B4-BE49-F238E27FC236}">
              <a16:creationId xmlns:a16="http://schemas.microsoft.com/office/drawing/2014/main" id="{C1F0CF3F-B155-4F2C-A1F7-1E535408C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xdr:colOff>
      <xdr:row>3</xdr:row>
      <xdr:rowOff>19050</xdr:rowOff>
    </xdr:from>
    <xdr:to>
      <xdr:col>18</xdr:col>
      <xdr:colOff>409575</xdr:colOff>
      <xdr:row>4</xdr:row>
      <xdr:rowOff>180975</xdr:rowOff>
    </xdr:to>
    <xdr:sp macro="" textlink="">
      <xdr:nvSpPr>
        <xdr:cNvPr id="14" name="Flowchart: Alternate Process 13">
          <a:extLst>
            <a:ext uri="{FF2B5EF4-FFF2-40B4-BE49-F238E27FC236}">
              <a16:creationId xmlns:a16="http://schemas.microsoft.com/office/drawing/2014/main" id="{145F84FC-EF8D-48DD-81FB-21272D063DF8}"/>
            </a:ext>
          </a:extLst>
        </xdr:cNvPr>
        <xdr:cNvSpPr/>
      </xdr:nvSpPr>
      <xdr:spPr>
        <a:xfrm>
          <a:off x="9172575" y="590550"/>
          <a:ext cx="2209800" cy="352425"/>
        </a:xfrm>
        <a:prstGeom prst="flowChartAlternateProcess">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ook Antiqua" panose="02040602050305030304" pitchFamily="18" charset="0"/>
            </a:rPr>
            <a:t>$ </a:t>
          </a:r>
          <a:r>
            <a:rPr lang="en-IN" sz="18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Book Antiqua" panose="02040602050305030304" pitchFamily="18" charset="0"/>
              <a:ea typeface="+mn-ea"/>
              <a:cs typeface="+mn-cs"/>
            </a:rPr>
            <a:t>citywise</a:t>
          </a:r>
          <a:r>
            <a:rPr lang="en-IN"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ook Antiqua" panose="02040602050305030304" pitchFamily="18" charset="0"/>
            </a:rPr>
            <a:t> </a:t>
          </a:r>
          <a:r>
            <a:rPr lang="en-IN" sz="18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Book Antiqua" panose="02040602050305030304" pitchFamily="18" charset="0"/>
            </a:rPr>
            <a:t>Profit</a:t>
          </a:r>
          <a:endParaRPr lang="en-IN" sz="1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Book Antiqua" panose="0204060205030503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361950</xdr:colOff>
      <xdr:row>3</xdr:row>
      <xdr:rowOff>123825</xdr:rowOff>
    </xdr:from>
    <xdr:to>
      <xdr:col>12</xdr:col>
      <xdr:colOff>190500</xdr:colOff>
      <xdr:row>10</xdr:row>
      <xdr:rowOff>28575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398D0A1-8F01-322C-DA13-23B9CCF6B9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2900" y="695325"/>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16</xdr:row>
      <xdr:rowOff>85725</xdr:rowOff>
    </xdr:from>
    <xdr:to>
      <xdr:col>8</xdr:col>
      <xdr:colOff>95250</xdr:colOff>
      <xdr:row>23</xdr:row>
      <xdr:rowOff>76200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9895BF2-7CE9-A6E6-DF5E-4EB2A0854D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8000" y="3133725"/>
              <a:ext cx="1304925"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257175</xdr:colOff>
      <xdr:row>30</xdr:row>
      <xdr:rowOff>19051</xdr:rowOff>
    </xdr:from>
    <xdr:to>
      <xdr:col>15</xdr:col>
      <xdr:colOff>28575</xdr:colOff>
      <xdr:row>43</xdr:row>
      <xdr:rowOff>185737</xdr:rowOff>
    </xdr:to>
    <xdr:graphicFrame macro="">
      <xdr:nvGraphicFramePr>
        <xdr:cNvPr id="4" name="Chart 3">
          <a:extLst>
            <a:ext uri="{FF2B5EF4-FFF2-40B4-BE49-F238E27FC236}">
              <a16:creationId xmlns:a16="http://schemas.microsoft.com/office/drawing/2014/main" id="{37BC84AC-D27C-8216-4DE7-FF88CEB53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847725</xdr:colOff>
      <xdr:row>45</xdr:row>
      <xdr:rowOff>33337</xdr:rowOff>
    </xdr:from>
    <xdr:to>
      <xdr:col>11</xdr:col>
      <xdr:colOff>28575</xdr:colOff>
      <xdr:row>59</xdr:row>
      <xdr:rowOff>109537</xdr:rowOff>
    </xdr:to>
    <xdr:graphicFrame macro="">
      <xdr:nvGraphicFramePr>
        <xdr:cNvPr id="7" name="Chart 6">
          <a:extLst>
            <a:ext uri="{FF2B5EF4-FFF2-40B4-BE49-F238E27FC236}">
              <a16:creationId xmlns:a16="http://schemas.microsoft.com/office/drawing/2014/main" id="{38633504-6AE6-2650-EB46-A28CBF66F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9.716348379632" createdVersion="8" refreshedVersion="8" minRefreshableVersion="3" recordCount="19" xr:uid="{83CF4DF3-6B10-405B-8E95-2100A72DF4AB}">
  <cacheSource type="worksheet">
    <worksheetSource ref="A1:N20" sheet="Data"/>
  </cacheSource>
  <cacheFields count="14">
    <cacheField name="Order Date" numFmtId="14">
      <sharedItems containsDate="1" containsMixedTypes="1" minDate="2015-09-06T00:00:00" maxDate="2017-12-07T00:00:00" count="10">
        <d v="2017-08-11T00:00:00"/>
        <d v="2017-12-06T00:00:00"/>
        <d v="2016-11-10T00:00:00"/>
        <d v="2015-09-06T00:00:00"/>
        <s v="4-15-2018"/>
        <d v="2017-05-12T00:00:00"/>
        <s v="11-22-2016"/>
        <d v="2015-11-11T00:00:00"/>
        <s v="5-13-2015"/>
        <s v="8-27-2015"/>
      </sharedItems>
    </cacheField>
    <cacheField name="Ship Date" numFmtId="14">
      <sharedItems containsDate="1" containsMixedTypes="1" minDate="2015-01-09T00:00:00" maxDate="2017-11-12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9">
        <s v="Henderson"/>
        <s v="Los Angeles"/>
        <s v="Fort Lauderdale"/>
        <s v="Concord"/>
        <s v="Seattle"/>
        <s v="Fort Worth"/>
        <s v="Madison"/>
        <s v="West Jordan"/>
        <s v="San Francisco"/>
      </sharedItems>
    </cacheField>
    <cacheField name="State" numFmtId="0">
      <sharedItems/>
    </cacheField>
    <cacheField name="Region" numFmtId="0">
      <sharedItems count="3">
        <s v="South"/>
        <s v="West"/>
        <s v="Central"/>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2.544" maxValue="1706.184" count="19">
        <n v="261.95999999999998"/>
        <n v="731.94"/>
        <n v="14.62"/>
        <n v="957.57749999999999"/>
        <n v="22.367999999999999"/>
        <n v="48.86"/>
        <n v="7.28"/>
        <n v="907.15200000000004"/>
        <n v="18.504000000000001"/>
        <n v="114.9"/>
        <n v="1706.184"/>
        <n v="911.42399999999998"/>
        <n v="15.552"/>
        <n v="407.976"/>
        <n v="68.81"/>
        <n v="2.544"/>
        <n v="665.88"/>
        <n v="55.5"/>
        <n v="8.56"/>
      </sharedItems>
    </cacheField>
    <cacheField name="Quantity" numFmtId="0">
      <sharedItems containsSemiMixedTypes="0" containsString="0" containsNumber="1" containsInteger="1" minValue="2" maxValue="9"/>
    </cacheField>
    <cacheField name="Profit" numFmtId="0">
      <sharedItems containsSemiMixedTypes="0" containsString="0" containsNumber="1" minValue="-383.03100000000001" maxValue="219.58199999999999"/>
    </cacheField>
  </cacheFields>
  <extLst>
    <ext xmlns:x14="http://schemas.microsoft.com/office/spreadsheetml/2009/9/main" uri="{725AE2AE-9491-48be-B2B4-4EB974FC3084}">
      <x14:pivotCacheDefinition pivotCacheId="217882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d v="2017-11-11T00:00:00"/>
    <s v="Second Class"/>
    <s v="CG-12520"/>
    <s v="Claire Gute"/>
    <s v="Consumer"/>
    <x v="0"/>
    <s v="Kentucky"/>
    <x v="0"/>
    <x v="0"/>
    <s v="Bookcases"/>
    <x v="0"/>
    <n v="2"/>
    <n v="41.913600000000002"/>
  </r>
  <r>
    <x v="0"/>
    <d v="2017-11-11T00:00:00"/>
    <s v="Second Class"/>
    <s v="CG-12520"/>
    <s v="Claire Gute"/>
    <s v="Consumer"/>
    <x v="0"/>
    <s v="Kentucky"/>
    <x v="0"/>
    <x v="0"/>
    <s v="Chairs"/>
    <x v="1"/>
    <n v="3"/>
    <n v="219.58199999999999"/>
  </r>
  <r>
    <x v="1"/>
    <s v="6-16-2017"/>
    <s v="Second Class"/>
    <s v="DV-13045"/>
    <s v="Darrin Van Huff"/>
    <s v="Corporate"/>
    <x v="1"/>
    <s v="California"/>
    <x v="1"/>
    <x v="1"/>
    <s v="Labels"/>
    <x v="2"/>
    <n v="2"/>
    <n v="6.8714000000000004"/>
  </r>
  <r>
    <x v="2"/>
    <s v="10-18-2016"/>
    <s v="Standard Class"/>
    <s v="SO-20335"/>
    <s v="Sean O'Donnell"/>
    <s v="Consumer"/>
    <x v="2"/>
    <s v="Florida"/>
    <x v="0"/>
    <x v="0"/>
    <s v="Tables"/>
    <x v="3"/>
    <n v="5"/>
    <n v="-383.03100000000001"/>
  </r>
  <r>
    <x v="2"/>
    <s v="10-18-2016"/>
    <s v="Standard Class"/>
    <s v="SO-20335"/>
    <s v="Sean O'Donnell"/>
    <s v="Consumer"/>
    <x v="2"/>
    <s v="Florida"/>
    <x v="0"/>
    <x v="1"/>
    <s v="Storage"/>
    <x v="4"/>
    <n v="2"/>
    <n v="2.5164"/>
  </r>
  <r>
    <x v="3"/>
    <s v="6-14-2015"/>
    <s v="Standard Class"/>
    <s v="BH-11710"/>
    <s v="Brosina Hoffman"/>
    <s v="Consumer"/>
    <x v="1"/>
    <s v="California"/>
    <x v="1"/>
    <x v="0"/>
    <s v="Furnishings"/>
    <x v="5"/>
    <n v="7"/>
    <n v="14.1694"/>
  </r>
  <r>
    <x v="3"/>
    <s v="6-14-2015"/>
    <s v="Standard Class"/>
    <s v="BH-11710"/>
    <s v="Brosina Hoffman"/>
    <s v="Consumer"/>
    <x v="1"/>
    <s v="California"/>
    <x v="1"/>
    <x v="1"/>
    <s v="Art"/>
    <x v="6"/>
    <n v="4"/>
    <n v="1.9656"/>
  </r>
  <r>
    <x v="3"/>
    <s v="6-14-2015"/>
    <s v="Standard Class"/>
    <s v="BH-11710"/>
    <s v="Brosina Hoffman"/>
    <s v="Consumer"/>
    <x v="1"/>
    <s v="California"/>
    <x v="1"/>
    <x v="2"/>
    <s v="Phones"/>
    <x v="7"/>
    <n v="6"/>
    <n v="90.715199999999996"/>
  </r>
  <r>
    <x v="3"/>
    <s v="6-14-2015"/>
    <s v="Standard Class"/>
    <s v="BH-11710"/>
    <s v="Brosina Hoffman"/>
    <s v="Consumer"/>
    <x v="1"/>
    <s v="California"/>
    <x v="1"/>
    <x v="1"/>
    <s v="Binders"/>
    <x v="8"/>
    <n v="3"/>
    <n v="5.7824999999999998"/>
  </r>
  <r>
    <x v="3"/>
    <s v="6-14-2015"/>
    <s v="Standard Class"/>
    <s v="BH-11710"/>
    <s v="Brosina Hoffman"/>
    <s v="Consumer"/>
    <x v="1"/>
    <s v="California"/>
    <x v="1"/>
    <x v="1"/>
    <s v="Appliances"/>
    <x v="9"/>
    <n v="5"/>
    <n v="34.47"/>
  </r>
  <r>
    <x v="3"/>
    <s v="6-14-2015"/>
    <s v="Standard Class"/>
    <s v="BH-11710"/>
    <s v="Brosina Hoffman"/>
    <s v="Consumer"/>
    <x v="1"/>
    <s v="California"/>
    <x v="1"/>
    <x v="0"/>
    <s v="Tables"/>
    <x v="10"/>
    <n v="9"/>
    <n v="85.309200000000004"/>
  </r>
  <r>
    <x v="3"/>
    <s v="6-14-2015"/>
    <s v="Standard Class"/>
    <s v="BH-11710"/>
    <s v="Brosina Hoffman"/>
    <s v="Consumer"/>
    <x v="1"/>
    <s v="California"/>
    <x v="1"/>
    <x v="2"/>
    <s v="Phones"/>
    <x v="11"/>
    <n v="4"/>
    <n v="68.356800000000007"/>
  </r>
  <r>
    <x v="4"/>
    <s v="4-20-2018"/>
    <s v="Standard Class"/>
    <s v="AA-10480"/>
    <s v="Andrew Allen"/>
    <s v="Consumer"/>
    <x v="3"/>
    <s v="North Carolina"/>
    <x v="0"/>
    <x v="1"/>
    <s v="Paper"/>
    <x v="12"/>
    <n v="3"/>
    <n v="5.4432"/>
  </r>
  <r>
    <x v="5"/>
    <d v="2017-10-12T00:00:00"/>
    <s v="Standard Class"/>
    <s v="IM-15070"/>
    <s v="Irene Maddox"/>
    <s v="Consumer"/>
    <x v="4"/>
    <s v="Washington"/>
    <x v="1"/>
    <x v="1"/>
    <s v="Binders"/>
    <x v="13"/>
    <n v="3"/>
    <n v="132.59219999999999"/>
  </r>
  <r>
    <x v="6"/>
    <s v="11-26-2016"/>
    <s v="Standard Class"/>
    <s v="HP-14815"/>
    <s v="Harold Pawlan"/>
    <s v="Home Office"/>
    <x v="5"/>
    <s v="Texas"/>
    <x v="2"/>
    <x v="1"/>
    <s v="Appliances"/>
    <x v="14"/>
    <n v="5"/>
    <n v="-123.858"/>
  </r>
  <r>
    <x v="6"/>
    <s v="11-26-2016"/>
    <s v="Standard Class"/>
    <s v="HP-14815"/>
    <s v="Harold Pawlan"/>
    <s v="Home Office"/>
    <x v="5"/>
    <s v="Texas"/>
    <x v="2"/>
    <x v="1"/>
    <s v="Binders"/>
    <x v="15"/>
    <n v="3"/>
    <n v="-3.8159999999999998"/>
  </r>
  <r>
    <x v="7"/>
    <s v="11-18-2015"/>
    <s v="Standard Class"/>
    <s v="PK-19075"/>
    <s v="Pete Kriz"/>
    <s v="Consumer"/>
    <x v="6"/>
    <s v="Wisconsin"/>
    <x v="2"/>
    <x v="1"/>
    <s v="Storage"/>
    <x v="16"/>
    <n v="6"/>
    <n v="13.317600000000001"/>
  </r>
  <r>
    <x v="8"/>
    <s v="5-15-2015"/>
    <s v="Second Class"/>
    <s v="AG-10270"/>
    <s v="Alejandro Grove"/>
    <s v="Consumer"/>
    <x v="7"/>
    <s v="Utah"/>
    <x v="1"/>
    <x v="1"/>
    <s v="Storage"/>
    <x v="17"/>
    <n v="2"/>
    <n v="9.99"/>
  </r>
  <r>
    <x v="9"/>
    <d v="2015-01-09T00:00:00"/>
    <s v="Second Class"/>
    <s v="ZD-21925"/>
    <s v="Zuschuss Donatelli"/>
    <s v="Consumer"/>
    <x v="8"/>
    <s v="California"/>
    <x v="1"/>
    <x v="1"/>
    <s v="Art"/>
    <x v="18"/>
    <n v="2"/>
    <n v="2.4824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A134D-900C-4AC8-A938-C1824EEA0990}" name="PivotTable6"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18:O22" firstHeaderRow="0" firstDataRow="1" firstDataCol="1"/>
  <pivotFields count="14">
    <pivotField showAll="0">
      <items count="11">
        <item x="6"/>
        <item x="4"/>
        <item x="8"/>
        <item x="9"/>
        <item x="3"/>
        <item x="7"/>
        <item x="2"/>
        <item x="5"/>
        <item x="0"/>
        <item x="1"/>
        <item t="default"/>
      </items>
    </pivotField>
    <pivotField showAll="0"/>
    <pivotField showAll="0"/>
    <pivotField showAll="0"/>
    <pivotField showAll="0"/>
    <pivotField showAll="0"/>
    <pivotField axis="axisRow" showAll="0">
      <items count="10">
        <item x="3"/>
        <item x="2"/>
        <item x="5"/>
        <item x="0"/>
        <item x="1"/>
        <item x="6"/>
        <item x="8"/>
        <item x="4"/>
        <item x="7"/>
        <item t="default"/>
      </items>
    </pivotField>
    <pivotField showAll="0"/>
    <pivotField showAll="0">
      <items count="4">
        <item x="2"/>
        <item x="0"/>
        <item x="1"/>
        <item t="default"/>
      </items>
    </pivotField>
    <pivotField showAll="0">
      <items count="4">
        <item x="0"/>
        <item h="1" x="1"/>
        <item h="1" x="2"/>
        <item t="default"/>
      </items>
    </pivotField>
    <pivotField showAll="0"/>
    <pivotField dataField="1" showAll="0"/>
    <pivotField showAll="0"/>
    <pivotField dataField="1" showAll="0"/>
  </pivotFields>
  <rowFields count="1">
    <field x="6"/>
  </rowFields>
  <rowItems count="4">
    <i>
      <x v="1"/>
    </i>
    <i>
      <x v="3"/>
    </i>
    <i>
      <x v="4"/>
    </i>
    <i t="grand">
      <x/>
    </i>
  </rowItems>
  <colFields count="1">
    <field x="-2"/>
  </colFields>
  <colItems count="2">
    <i>
      <x/>
    </i>
    <i i="1">
      <x v="1"/>
    </i>
  </colItems>
  <dataFields count="2">
    <dataField name="Sum of Sales" fld="11" baseField="0" baseItem="0"/>
    <dataField name="Sum of Profit" fld="13"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7" format="6" series="1">
      <pivotArea type="data" outline="0" fieldPosition="0">
        <references count="2">
          <reference field="4294967294" count="1" selected="0">
            <x v="0"/>
          </reference>
          <reference field="6" count="1" selected="0">
            <x v="2"/>
          </reference>
        </references>
      </pivotArea>
    </chartFormat>
    <chartFormat chart="27" format="7" series="1">
      <pivotArea type="data" outline="0" fieldPosition="0">
        <references count="2">
          <reference field="4294967294" count="1" selected="0">
            <x v="0"/>
          </reference>
          <reference field="6" count="1" selected="0">
            <x v="3"/>
          </reference>
        </references>
      </pivotArea>
    </chartFormat>
    <chartFormat chart="27" format="8" series="1">
      <pivotArea type="data" outline="0" fieldPosition="0">
        <references count="2">
          <reference field="4294967294" count="1" selected="0">
            <x v="0"/>
          </reference>
          <reference field="6" count="1" selected="0">
            <x v="4"/>
          </reference>
        </references>
      </pivotArea>
    </chartFormat>
    <chartFormat chart="27" format="9" series="1">
      <pivotArea type="data" outline="0" fieldPosition="0">
        <references count="2">
          <reference field="4294967294" count="1" selected="0">
            <x v="0"/>
          </reference>
          <reference field="6" count="1" selected="0">
            <x v="5"/>
          </reference>
        </references>
      </pivotArea>
    </chartFormat>
    <chartFormat chart="27" format="10" series="1">
      <pivotArea type="data" outline="0" fieldPosition="0">
        <references count="2">
          <reference field="4294967294" count="1" selected="0">
            <x v="0"/>
          </reference>
          <reference field="6" count="1" selected="0">
            <x v="6"/>
          </reference>
        </references>
      </pivotArea>
    </chartFormat>
    <chartFormat chart="27" format="11" series="1">
      <pivotArea type="data" outline="0" fieldPosition="0">
        <references count="2">
          <reference field="4294967294" count="1" selected="0">
            <x v="0"/>
          </reference>
          <reference field="6" count="1" selected="0">
            <x v="7"/>
          </reference>
        </references>
      </pivotArea>
    </chartFormat>
    <chartFormat chart="27" format="12" series="1">
      <pivotArea type="data" outline="0" fieldPosition="0">
        <references count="2">
          <reference field="4294967294" count="1" selected="0">
            <x v="0"/>
          </reference>
          <reference field="6" count="1" selected="0">
            <x v="8"/>
          </reference>
        </references>
      </pivotArea>
    </chartFormat>
    <chartFormat chart="27" format="13" series="1">
      <pivotArea type="data" outline="0" fieldPosition="0">
        <references count="2">
          <reference field="4294967294" count="1" selected="0">
            <x v="0"/>
          </reference>
          <reference field="6" count="1" selected="0">
            <x v="0"/>
          </reference>
        </references>
      </pivotArea>
    </chartFormat>
    <chartFormat chart="27" format="14"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6" format="6" series="1">
      <pivotArea type="data" outline="0" fieldPosition="0">
        <references count="2">
          <reference field="4294967294" count="1" selected="0">
            <x v="0"/>
          </reference>
          <reference field="6" count="1" selected="0">
            <x v="6"/>
          </reference>
        </references>
      </pivotArea>
    </chartFormat>
    <chartFormat chart="6" format="7" series="1">
      <pivotArea type="data" outline="0" fieldPosition="0">
        <references count="2">
          <reference field="4294967294" count="1" selected="0">
            <x v="0"/>
          </reference>
          <reference field="6" count="1" selected="0">
            <x v="7"/>
          </reference>
        </references>
      </pivotArea>
    </chartFormat>
    <chartFormat chart="6" format="8" series="1">
      <pivotArea type="data" outline="0" fieldPosition="0">
        <references count="2">
          <reference field="4294967294" count="1" selected="0">
            <x v="0"/>
          </reference>
          <reference field="6" count="1" selected="0">
            <x v="8"/>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 chart="3" format="6" series="1">
      <pivotArea type="data" outline="0" fieldPosition="0">
        <references count="2">
          <reference field="4294967294" count="1" selected="0">
            <x v="0"/>
          </reference>
          <reference field="6" count="1" selected="0">
            <x v="6"/>
          </reference>
        </references>
      </pivotArea>
    </chartFormat>
    <chartFormat chart="3" format="7" series="1">
      <pivotArea type="data" outline="0" fieldPosition="0">
        <references count="2">
          <reference field="4294967294" count="1" selected="0">
            <x v="0"/>
          </reference>
          <reference field="6" count="1" selected="0">
            <x v="7"/>
          </reference>
        </references>
      </pivotArea>
    </chartFormat>
    <chartFormat chart="3" format="8" series="1">
      <pivotArea type="data" outline="0" fieldPosition="0">
        <references count="2">
          <reference field="4294967294" count="1" selected="0">
            <x v="0"/>
          </reference>
          <reference field="6" count="1" selected="0">
            <x v="8"/>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5190E4-F118-4C94-8713-3FF3EF8558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9:B32" firstHeaderRow="1" firstDataRow="1" firstDataCol="1"/>
  <pivotFields count="14">
    <pivotField showAll="0">
      <items count="11">
        <item x="6"/>
        <item x="4"/>
        <item x="8"/>
        <item x="9"/>
        <item x="3"/>
        <item x="7"/>
        <item x="2"/>
        <item x="5"/>
        <item x="0"/>
        <item x="1"/>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items count="4">
        <item x="0"/>
        <item h="1" x="1"/>
        <item h="1" x="2"/>
        <item t="default"/>
      </items>
    </pivotField>
    <pivotField showAll="0"/>
    <pivotField dataField="1" showAll="0">
      <items count="20">
        <item x="15"/>
        <item x="6"/>
        <item x="18"/>
        <item x="2"/>
        <item x="12"/>
        <item x="8"/>
        <item x="4"/>
        <item x="5"/>
        <item x="17"/>
        <item x="14"/>
        <item x="9"/>
        <item x="0"/>
        <item x="13"/>
        <item x="16"/>
        <item x="1"/>
        <item x="7"/>
        <item x="11"/>
        <item x="3"/>
        <item x="10"/>
        <item t="default"/>
      </items>
    </pivotField>
    <pivotField showAll="0"/>
    <pivotField showAll="0"/>
  </pivotFields>
  <rowFields count="1">
    <field x="8"/>
  </rowFields>
  <rowItems count="3">
    <i>
      <x v="1"/>
    </i>
    <i>
      <x v="2"/>
    </i>
    <i t="grand">
      <x/>
    </i>
  </rowItems>
  <colItems count="1">
    <i/>
  </colItems>
  <dataFields count="1">
    <dataField name="Sum of Sales" fld="11"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8" count="1" selected="0">
            <x v="1"/>
          </reference>
        </references>
      </pivotArea>
    </chartFormat>
    <chartFormat chart="8"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3C82C-4B7F-437E-8A7D-522B3A55C6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2" firstHeaderRow="1" firstDataRow="1" firstDataCol="1"/>
  <pivotFields count="14">
    <pivotField showAll="0">
      <items count="11">
        <item x="6"/>
        <item x="4"/>
        <item x="8"/>
        <item x="9"/>
        <item x="3"/>
        <item x="7"/>
        <item x="2"/>
        <item x="5"/>
        <item x="0"/>
        <item x="1"/>
        <item t="default"/>
      </items>
    </pivotField>
    <pivotField showAll="0"/>
    <pivotField showAll="0"/>
    <pivotField showAll="0"/>
    <pivotField showAll="0"/>
    <pivotField showAll="0"/>
    <pivotField showAll="0"/>
    <pivotField showAll="0"/>
    <pivotField showAll="0">
      <items count="4">
        <item x="2"/>
        <item x="0"/>
        <item x="1"/>
        <item t="default"/>
      </items>
    </pivotField>
    <pivotField axis="axisRow" showAll="0">
      <items count="4">
        <item x="0"/>
        <item h="1" x="1"/>
        <item h="1" x="2"/>
        <item t="default"/>
      </items>
    </pivotField>
    <pivotField showAll="0"/>
    <pivotField showAll="0"/>
    <pivotField showAll="0"/>
    <pivotField showAll="0"/>
  </pivotFields>
  <rowFields count="1">
    <field x="9"/>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BE780-AE50-45D4-AAA7-0F9091707B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5" firstHeaderRow="1" firstDataRow="2" firstDataCol="1"/>
  <pivotFields count="14">
    <pivotField axis="axisRow" showAll="0">
      <items count="11">
        <item x="6"/>
        <item x="4"/>
        <item x="8"/>
        <item x="9"/>
        <item x="3"/>
        <item x="7"/>
        <item x="2"/>
        <item x="5"/>
        <item x="0"/>
        <item x="1"/>
        <item t="default"/>
      </items>
    </pivotField>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dataField="1" showAll="0"/>
    <pivotField showAll="0"/>
    <pivotField showAll="0"/>
  </pivotFields>
  <rowFields count="1">
    <field x="0"/>
  </rowFields>
  <rowItems count="11">
    <i>
      <x/>
    </i>
    <i>
      <x v="1"/>
    </i>
    <i>
      <x v="2"/>
    </i>
    <i>
      <x v="3"/>
    </i>
    <i>
      <x v="4"/>
    </i>
    <i>
      <x v="5"/>
    </i>
    <i>
      <x v="6"/>
    </i>
    <i>
      <x v="7"/>
    </i>
    <i>
      <x v="8"/>
    </i>
    <i>
      <x v="9"/>
    </i>
    <i t="grand">
      <x/>
    </i>
  </rowItems>
  <colFields count="1">
    <field x="8"/>
  </colFields>
  <colItems count="4">
    <i>
      <x/>
    </i>
    <i>
      <x v="1"/>
    </i>
    <i>
      <x v="2"/>
    </i>
    <i t="grand">
      <x/>
    </i>
  </colItems>
  <dataFields count="1">
    <dataField name="Sum of Sales" fld="11" baseField="0" baseItem="0"/>
  </dataFields>
  <formats count="1">
    <format dxfId="17">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1EB59A-B8A1-4889-A4B6-539253E50455}" sourceName="Region">
  <pivotTables>
    <pivotTable tabId="5" name="PivotTable2"/>
    <pivotTable tabId="5" name="PivotTable3"/>
    <pivotTable tabId="5" name="PivotTable4"/>
    <pivotTable tabId="5" name="PivotTable6"/>
  </pivotTables>
  <data>
    <tabular pivotCacheId="2178824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C8371D-A74E-4E81-BAF5-0D1A9C72EA6E}" sourceName="Category">
  <pivotTables>
    <pivotTable tabId="5" name="PivotTable3"/>
    <pivotTable tabId="5" name="PivotTable4"/>
    <pivotTable tabId="5" name="PivotTable6"/>
  </pivotTables>
  <data>
    <tabular pivotCacheId="21788247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9B95BC2-4830-475B-A0D7-1E882E10CCF8}" cache="Slicer_Region" caption="Region" style="SlicerStyleDark1" rowHeight="257175"/>
  <slicer name="Category 1" xr10:uid="{974F0550-5F71-4CFF-81B1-EFC38C0B2F00}" cache="Slicer_Category" caption="Category" columnCount="3"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374E79-5471-4DEF-864B-90A7ED8C95B0}" cache="Slicer_Region" caption="Region" style="SlicerStyleLight1" rowHeight="257175"/>
  <slicer name="Category" xr10:uid="{AD332CB0-1826-4313-82DE-BB06E2AC3385}" cache="Slicer_Category" caption="Category" style="SlicerStyleLight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6F4B-FBD0-459D-BB19-955C23E515C7}">
  <dimension ref="A1"/>
  <sheetViews>
    <sheetView showGridLines="0" tabSelected="1" zoomScaleNormal="100" workbookViewId="0">
      <selection activeCell="U3" sqref="U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1D6A-AE67-4D72-91B6-CBC0AB9621A7}">
  <dimension ref="A3:O32"/>
  <sheetViews>
    <sheetView topLeftCell="A42" workbookViewId="0">
      <selection activeCell="P48" sqref="P48"/>
    </sheetView>
  </sheetViews>
  <sheetFormatPr defaultRowHeight="15" x14ac:dyDescent="0.25"/>
  <cols>
    <col min="1" max="1" width="13.42578125" bestFit="1" customWidth="1"/>
    <col min="2" max="2" width="12.5703125" bestFit="1" customWidth="1"/>
    <col min="3" max="3" width="10" bestFit="1" customWidth="1"/>
    <col min="4" max="4" width="9" bestFit="1" customWidth="1"/>
    <col min="5" max="5" width="11.28515625" bestFit="1" customWidth="1"/>
    <col min="6" max="8" width="7" bestFit="1" customWidth="1"/>
    <col min="9" max="9" width="6" bestFit="1" customWidth="1"/>
    <col min="10" max="10" width="5" bestFit="1" customWidth="1"/>
    <col min="11" max="12" width="6" bestFit="1" customWidth="1"/>
    <col min="13" max="13" width="14.85546875" bestFit="1" customWidth="1"/>
    <col min="14" max="14" width="12.5703125" bestFit="1" customWidth="1"/>
    <col min="15" max="15" width="12.7109375" bestFit="1" customWidth="1"/>
    <col min="16" max="16" width="10.5703125" bestFit="1" customWidth="1"/>
    <col min="17" max="17" width="11" bestFit="1" customWidth="1"/>
    <col min="18" max="18" width="11.7109375" bestFit="1" customWidth="1"/>
    <col min="19" max="19" width="8.5703125" bestFit="1" customWidth="1"/>
    <col min="20" max="20" width="13.42578125" bestFit="1" customWidth="1"/>
    <col min="21" max="21" width="9" bestFit="1" customWidth="1"/>
    <col min="22" max="22" width="12" bestFit="1" customWidth="1"/>
    <col min="23" max="23" width="11.28515625" bestFit="1" customWidth="1"/>
  </cols>
  <sheetData>
    <row r="3" spans="1:13" x14ac:dyDescent="0.25">
      <c r="A3" s="6" t="s">
        <v>87</v>
      </c>
      <c r="B3" s="6" t="s">
        <v>86</v>
      </c>
    </row>
    <row r="4" spans="1:13" x14ac:dyDescent="0.25">
      <c r="A4" s="6" t="s">
        <v>84</v>
      </c>
      <c r="B4" t="s">
        <v>68</v>
      </c>
      <c r="C4" t="s">
        <v>20</v>
      </c>
      <c r="D4" t="s">
        <v>30</v>
      </c>
      <c r="E4" t="s">
        <v>85</v>
      </c>
      <c r="M4" s="9"/>
    </row>
    <row r="5" spans="1:13" x14ac:dyDescent="0.25">
      <c r="A5" s="8" t="s">
        <v>61</v>
      </c>
      <c r="B5" s="11">
        <v>71.353999999999999</v>
      </c>
      <c r="C5" s="11"/>
      <c r="D5" s="11"/>
      <c r="E5" s="11">
        <v>71.353999999999999</v>
      </c>
      <c r="M5" s="8"/>
    </row>
    <row r="6" spans="1:13" x14ac:dyDescent="0.25">
      <c r="A6" s="7" t="s">
        <v>50</v>
      </c>
      <c r="B6" s="11"/>
      <c r="C6" s="11">
        <v>15.552</v>
      </c>
      <c r="D6" s="11"/>
      <c r="E6" s="11">
        <v>15.552</v>
      </c>
      <c r="M6" s="7"/>
    </row>
    <row r="7" spans="1:13" x14ac:dyDescent="0.25">
      <c r="A7" s="7" t="s">
        <v>74</v>
      </c>
      <c r="B7" s="11"/>
      <c r="C7" s="11"/>
      <c r="D7" s="11">
        <v>55.5</v>
      </c>
      <c r="E7" s="11">
        <v>55.5</v>
      </c>
      <c r="M7" s="7"/>
    </row>
    <row r="8" spans="1:13" x14ac:dyDescent="0.25">
      <c r="A8" s="7" t="s">
        <v>80</v>
      </c>
      <c r="B8" s="11"/>
      <c r="C8" s="11"/>
      <c r="D8" s="11">
        <v>8.56</v>
      </c>
      <c r="E8" s="11">
        <v>8.56</v>
      </c>
      <c r="M8" s="7"/>
    </row>
    <row r="9" spans="1:13" x14ac:dyDescent="0.25">
      <c r="A9" s="8">
        <v>42253</v>
      </c>
      <c r="B9" s="11"/>
      <c r="C9" s="11"/>
      <c r="D9" s="11">
        <v>3714.3040000000001</v>
      </c>
      <c r="E9" s="11">
        <v>3714.3040000000001</v>
      </c>
      <c r="M9" s="8"/>
    </row>
    <row r="10" spans="1:13" x14ac:dyDescent="0.25">
      <c r="A10" s="8">
        <v>42319</v>
      </c>
      <c r="B10" s="11">
        <v>665.88</v>
      </c>
      <c r="C10" s="11"/>
      <c r="D10" s="11"/>
      <c r="E10" s="11">
        <v>665.88</v>
      </c>
      <c r="M10" s="8"/>
    </row>
    <row r="11" spans="1:13" x14ac:dyDescent="0.25">
      <c r="A11" s="8">
        <v>42684</v>
      </c>
      <c r="B11" s="11"/>
      <c r="C11" s="11">
        <v>979.94550000000004</v>
      </c>
      <c r="D11" s="11"/>
      <c r="E11" s="11">
        <v>979.94550000000004</v>
      </c>
      <c r="M11" s="8"/>
    </row>
    <row r="12" spans="1:13" x14ac:dyDescent="0.25">
      <c r="A12" s="8">
        <v>42867</v>
      </c>
      <c r="B12" s="11"/>
      <c r="C12" s="11"/>
      <c r="D12" s="11">
        <v>407.976</v>
      </c>
      <c r="E12" s="11">
        <v>407.976</v>
      </c>
      <c r="M12" s="8"/>
    </row>
    <row r="13" spans="1:13" x14ac:dyDescent="0.25">
      <c r="A13" s="8">
        <v>42958</v>
      </c>
      <c r="B13" s="11"/>
      <c r="C13" s="11">
        <v>993.90000000000009</v>
      </c>
      <c r="D13" s="11"/>
      <c r="E13" s="11">
        <v>993.90000000000009</v>
      </c>
      <c r="M13" s="8"/>
    </row>
    <row r="14" spans="1:13" x14ac:dyDescent="0.25">
      <c r="A14" s="8">
        <v>43075</v>
      </c>
      <c r="B14" s="11"/>
      <c r="C14" s="11"/>
      <c r="D14" s="11">
        <v>14.62</v>
      </c>
      <c r="E14" s="11">
        <v>14.62</v>
      </c>
      <c r="M14" s="8"/>
    </row>
    <row r="15" spans="1:13" x14ac:dyDescent="0.25">
      <c r="A15" s="7" t="s">
        <v>85</v>
      </c>
      <c r="B15" s="11">
        <v>737.23400000000004</v>
      </c>
      <c r="C15" s="11">
        <v>1989.3975</v>
      </c>
      <c r="D15" s="11">
        <v>4200.96</v>
      </c>
      <c r="E15" s="11">
        <v>6927.5914999999995</v>
      </c>
      <c r="M15" s="10"/>
    </row>
    <row r="18" spans="1:15" x14ac:dyDescent="0.25">
      <c r="M18" s="6" t="s">
        <v>84</v>
      </c>
      <c r="N18" t="s">
        <v>87</v>
      </c>
      <c r="O18" t="s">
        <v>88</v>
      </c>
    </row>
    <row r="19" spans="1:15" x14ac:dyDescent="0.25">
      <c r="M19" s="7" t="s">
        <v>37</v>
      </c>
      <c r="N19" s="11">
        <v>957.57749999999999</v>
      </c>
      <c r="O19" s="11">
        <v>-383.03100000000001</v>
      </c>
    </row>
    <row r="20" spans="1:15" x14ac:dyDescent="0.25">
      <c r="A20" s="6" t="s">
        <v>84</v>
      </c>
      <c r="M20" s="7" t="s">
        <v>18</v>
      </c>
      <c r="N20" s="11">
        <v>993.90000000000009</v>
      </c>
      <c r="O20" s="11">
        <v>261.49559999999997</v>
      </c>
    </row>
    <row r="21" spans="1:15" x14ac:dyDescent="0.25">
      <c r="A21" s="7" t="s">
        <v>21</v>
      </c>
      <c r="M21" s="7" t="s">
        <v>28</v>
      </c>
      <c r="N21" s="11">
        <v>1755.0439999999999</v>
      </c>
      <c r="O21" s="11">
        <v>99.4786</v>
      </c>
    </row>
    <row r="22" spans="1:15" x14ac:dyDescent="0.25">
      <c r="A22" s="7" t="s">
        <v>85</v>
      </c>
      <c r="M22" s="7" t="s">
        <v>85</v>
      </c>
      <c r="N22" s="11">
        <v>3706.5214999999998</v>
      </c>
      <c r="O22" s="11">
        <v>-22.056800000000038</v>
      </c>
    </row>
    <row r="29" spans="1:15" x14ac:dyDescent="0.25">
      <c r="A29" s="6" t="s">
        <v>84</v>
      </c>
      <c r="B29" t="s">
        <v>87</v>
      </c>
    </row>
    <row r="30" spans="1:15" x14ac:dyDescent="0.25">
      <c r="A30" s="7" t="s">
        <v>20</v>
      </c>
      <c r="B30" s="11">
        <v>1951.4775</v>
      </c>
    </row>
    <row r="31" spans="1:15" x14ac:dyDescent="0.25">
      <c r="A31" s="7" t="s">
        <v>30</v>
      </c>
      <c r="B31" s="11">
        <v>1755.0439999999999</v>
      </c>
    </row>
    <row r="32" spans="1:15" x14ac:dyDescent="0.25">
      <c r="A32" s="7" t="s">
        <v>85</v>
      </c>
      <c r="B32" s="11">
        <v>3706.5214999999998</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A1C4F-DC6B-49EA-880F-F0B5D56E721E}">
  <dimension ref="A1:N20"/>
  <sheetViews>
    <sheetView workbookViewId="0">
      <selection activeCell="O16" sqref="O16"/>
    </sheetView>
  </sheetViews>
  <sheetFormatPr defaultRowHeight="15" x14ac:dyDescent="0.25"/>
  <cols>
    <col min="1" max="1" width="19.140625" bestFit="1" customWidth="1"/>
    <col min="2" max="2" width="18.5703125" bestFit="1" customWidth="1"/>
  </cols>
  <sheetData>
    <row r="1" spans="1:14" ht="21" x14ac:dyDescent="0.35">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5.75" x14ac:dyDescent="0.25">
      <c r="A2" s="4">
        <v>42958</v>
      </c>
      <c r="B2" s="4">
        <v>43050</v>
      </c>
      <c r="C2" s="5" t="s">
        <v>14</v>
      </c>
      <c r="D2" s="5" t="s">
        <v>15</v>
      </c>
      <c r="E2" s="5" t="s">
        <v>16</v>
      </c>
      <c r="F2" s="5" t="s">
        <v>17</v>
      </c>
      <c r="G2" s="5" t="s">
        <v>18</v>
      </c>
      <c r="H2" s="5" t="s">
        <v>19</v>
      </c>
      <c r="I2" s="5" t="s">
        <v>20</v>
      </c>
      <c r="J2" s="5" t="s">
        <v>21</v>
      </c>
      <c r="K2" s="5" t="s">
        <v>22</v>
      </c>
      <c r="L2" s="5">
        <v>261.95999999999998</v>
      </c>
      <c r="M2" s="5">
        <v>2</v>
      </c>
      <c r="N2" s="5">
        <v>41.913600000000002</v>
      </c>
    </row>
    <row r="3" spans="1:14" ht="15.75" x14ac:dyDescent="0.25">
      <c r="A3" s="4">
        <v>42958</v>
      </c>
      <c r="B3" s="4">
        <v>43050</v>
      </c>
      <c r="C3" s="5" t="s">
        <v>14</v>
      </c>
      <c r="D3" s="5" t="s">
        <v>15</v>
      </c>
      <c r="E3" s="5" t="s">
        <v>16</v>
      </c>
      <c r="F3" s="5" t="s">
        <v>17</v>
      </c>
      <c r="G3" s="5" t="s">
        <v>18</v>
      </c>
      <c r="H3" s="5" t="s">
        <v>19</v>
      </c>
      <c r="I3" s="5" t="s">
        <v>20</v>
      </c>
      <c r="J3" s="5" t="s">
        <v>21</v>
      </c>
      <c r="K3" s="5" t="s">
        <v>23</v>
      </c>
      <c r="L3" s="5">
        <v>731.94</v>
      </c>
      <c r="M3" s="5">
        <v>3</v>
      </c>
      <c r="N3" s="5">
        <v>219.58199999999999</v>
      </c>
    </row>
    <row r="4" spans="1:14" ht="15.75" x14ac:dyDescent="0.25">
      <c r="A4" s="4">
        <v>43075</v>
      </c>
      <c r="B4" s="4" t="s">
        <v>24</v>
      </c>
      <c r="C4" s="5" t="s">
        <v>14</v>
      </c>
      <c r="D4" s="5" t="s">
        <v>25</v>
      </c>
      <c r="E4" s="5" t="s">
        <v>26</v>
      </c>
      <c r="F4" s="5" t="s">
        <v>27</v>
      </c>
      <c r="G4" s="5" t="s">
        <v>28</v>
      </c>
      <c r="H4" s="5" t="s">
        <v>29</v>
      </c>
      <c r="I4" s="5" t="s">
        <v>30</v>
      </c>
      <c r="J4" s="5" t="s">
        <v>31</v>
      </c>
      <c r="K4" s="5" t="s">
        <v>32</v>
      </c>
      <c r="L4" s="5">
        <v>14.62</v>
      </c>
      <c r="M4" s="5">
        <v>2</v>
      </c>
      <c r="N4" s="5">
        <v>6.8714000000000004</v>
      </c>
    </row>
    <row r="5" spans="1:14" ht="15.75" x14ac:dyDescent="0.25">
      <c r="A5" s="4">
        <v>42684</v>
      </c>
      <c r="B5" s="4" t="s">
        <v>33</v>
      </c>
      <c r="C5" s="5" t="s">
        <v>34</v>
      </c>
      <c r="D5" s="5" t="s">
        <v>35</v>
      </c>
      <c r="E5" s="5" t="s">
        <v>36</v>
      </c>
      <c r="F5" s="5" t="s">
        <v>17</v>
      </c>
      <c r="G5" s="5" t="s">
        <v>37</v>
      </c>
      <c r="H5" s="5" t="s">
        <v>38</v>
      </c>
      <c r="I5" s="5" t="s">
        <v>20</v>
      </c>
      <c r="J5" s="5" t="s">
        <v>21</v>
      </c>
      <c r="K5" s="5" t="s">
        <v>39</v>
      </c>
      <c r="L5" s="5">
        <v>957.57749999999999</v>
      </c>
      <c r="M5" s="5">
        <v>5</v>
      </c>
      <c r="N5" s="5">
        <v>-383.03100000000001</v>
      </c>
    </row>
    <row r="6" spans="1:14" ht="15.75" x14ac:dyDescent="0.25">
      <c r="A6" s="4">
        <v>42684</v>
      </c>
      <c r="B6" s="4" t="s">
        <v>33</v>
      </c>
      <c r="C6" s="5" t="s">
        <v>34</v>
      </c>
      <c r="D6" s="5" t="s">
        <v>35</v>
      </c>
      <c r="E6" s="5" t="s">
        <v>36</v>
      </c>
      <c r="F6" s="5" t="s">
        <v>17</v>
      </c>
      <c r="G6" s="5" t="s">
        <v>37</v>
      </c>
      <c r="H6" s="5" t="s">
        <v>38</v>
      </c>
      <c r="I6" s="5" t="s">
        <v>20</v>
      </c>
      <c r="J6" s="5" t="s">
        <v>31</v>
      </c>
      <c r="K6" s="5" t="s">
        <v>40</v>
      </c>
      <c r="L6" s="5">
        <v>22.367999999999999</v>
      </c>
      <c r="M6" s="5">
        <v>2</v>
      </c>
      <c r="N6" s="5">
        <v>2.5164</v>
      </c>
    </row>
    <row r="7" spans="1:14" ht="15.75" x14ac:dyDescent="0.25">
      <c r="A7" s="4">
        <v>42253</v>
      </c>
      <c r="B7" s="4" t="s">
        <v>41</v>
      </c>
      <c r="C7" s="5" t="s">
        <v>34</v>
      </c>
      <c r="D7" s="5" t="s">
        <v>42</v>
      </c>
      <c r="E7" s="5" t="s">
        <v>43</v>
      </c>
      <c r="F7" s="5" t="s">
        <v>17</v>
      </c>
      <c r="G7" s="5" t="s">
        <v>28</v>
      </c>
      <c r="H7" s="5" t="s">
        <v>29</v>
      </c>
      <c r="I7" s="5" t="s">
        <v>30</v>
      </c>
      <c r="J7" s="5" t="s">
        <v>21</v>
      </c>
      <c r="K7" s="5" t="s">
        <v>44</v>
      </c>
      <c r="L7" s="5">
        <v>48.86</v>
      </c>
      <c r="M7" s="5">
        <v>7</v>
      </c>
      <c r="N7" s="5">
        <v>14.1694</v>
      </c>
    </row>
    <row r="8" spans="1:14" ht="15.75" x14ac:dyDescent="0.25">
      <c r="A8" s="4">
        <v>42253</v>
      </c>
      <c r="B8" s="4" t="s">
        <v>41</v>
      </c>
      <c r="C8" s="5" t="s">
        <v>34</v>
      </c>
      <c r="D8" s="5" t="s">
        <v>42</v>
      </c>
      <c r="E8" s="5" t="s">
        <v>43</v>
      </c>
      <c r="F8" s="5" t="s">
        <v>17</v>
      </c>
      <c r="G8" s="5" t="s">
        <v>28</v>
      </c>
      <c r="H8" s="5" t="s">
        <v>29</v>
      </c>
      <c r="I8" s="5" t="s">
        <v>30</v>
      </c>
      <c r="J8" s="5" t="s">
        <v>31</v>
      </c>
      <c r="K8" s="5" t="s">
        <v>45</v>
      </c>
      <c r="L8" s="5">
        <v>7.28</v>
      </c>
      <c r="M8" s="5">
        <v>4</v>
      </c>
      <c r="N8" s="5">
        <v>1.9656</v>
      </c>
    </row>
    <row r="9" spans="1:14" ht="15.75" x14ac:dyDescent="0.25">
      <c r="A9" s="4">
        <v>42253</v>
      </c>
      <c r="B9" s="4" t="s">
        <v>41</v>
      </c>
      <c r="C9" s="5" t="s">
        <v>34</v>
      </c>
      <c r="D9" s="5" t="s">
        <v>42</v>
      </c>
      <c r="E9" s="5" t="s">
        <v>43</v>
      </c>
      <c r="F9" s="5" t="s">
        <v>17</v>
      </c>
      <c r="G9" s="5" t="s">
        <v>28</v>
      </c>
      <c r="H9" s="5" t="s">
        <v>29</v>
      </c>
      <c r="I9" s="5" t="s">
        <v>30</v>
      </c>
      <c r="J9" s="5" t="s">
        <v>46</v>
      </c>
      <c r="K9" s="5" t="s">
        <v>47</v>
      </c>
      <c r="L9" s="5">
        <v>907.15200000000004</v>
      </c>
      <c r="M9" s="5">
        <v>6</v>
      </c>
      <c r="N9" s="5">
        <v>90.715199999999996</v>
      </c>
    </row>
    <row r="10" spans="1:14" ht="15.75" x14ac:dyDescent="0.25">
      <c r="A10" s="4">
        <v>42253</v>
      </c>
      <c r="B10" s="4" t="s">
        <v>41</v>
      </c>
      <c r="C10" s="5" t="s">
        <v>34</v>
      </c>
      <c r="D10" s="5" t="s">
        <v>42</v>
      </c>
      <c r="E10" s="5" t="s">
        <v>43</v>
      </c>
      <c r="F10" s="5" t="s">
        <v>17</v>
      </c>
      <c r="G10" s="5" t="s">
        <v>28</v>
      </c>
      <c r="H10" s="5" t="s">
        <v>29</v>
      </c>
      <c r="I10" s="5" t="s">
        <v>30</v>
      </c>
      <c r="J10" s="5" t="s">
        <v>31</v>
      </c>
      <c r="K10" s="5" t="s">
        <v>48</v>
      </c>
      <c r="L10" s="5">
        <v>18.504000000000001</v>
      </c>
      <c r="M10" s="5">
        <v>3</v>
      </c>
      <c r="N10" s="5">
        <v>5.7824999999999998</v>
      </c>
    </row>
    <row r="11" spans="1:14" ht="15.75" x14ac:dyDescent="0.25">
      <c r="A11" s="4">
        <v>42253</v>
      </c>
      <c r="B11" s="4" t="s">
        <v>41</v>
      </c>
      <c r="C11" s="5" t="s">
        <v>34</v>
      </c>
      <c r="D11" s="5" t="s">
        <v>42</v>
      </c>
      <c r="E11" s="5" t="s">
        <v>43</v>
      </c>
      <c r="F11" s="5" t="s">
        <v>17</v>
      </c>
      <c r="G11" s="5" t="s">
        <v>28</v>
      </c>
      <c r="H11" s="5" t="s">
        <v>29</v>
      </c>
      <c r="I11" s="5" t="s">
        <v>30</v>
      </c>
      <c r="J11" s="5" t="s">
        <v>31</v>
      </c>
      <c r="K11" s="5" t="s">
        <v>49</v>
      </c>
      <c r="L11" s="5">
        <v>114.9</v>
      </c>
      <c r="M11" s="5">
        <v>5</v>
      </c>
      <c r="N11" s="5">
        <v>34.47</v>
      </c>
    </row>
    <row r="12" spans="1:14" ht="15.75" x14ac:dyDescent="0.25">
      <c r="A12" s="4">
        <v>42253</v>
      </c>
      <c r="B12" s="4" t="s">
        <v>41</v>
      </c>
      <c r="C12" s="5" t="s">
        <v>34</v>
      </c>
      <c r="D12" s="5" t="s">
        <v>42</v>
      </c>
      <c r="E12" s="5" t="s">
        <v>43</v>
      </c>
      <c r="F12" s="5" t="s">
        <v>17</v>
      </c>
      <c r="G12" s="5" t="s">
        <v>28</v>
      </c>
      <c r="H12" s="5" t="s">
        <v>29</v>
      </c>
      <c r="I12" s="5" t="s">
        <v>30</v>
      </c>
      <c r="J12" s="5" t="s">
        <v>21</v>
      </c>
      <c r="K12" s="5" t="s">
        <v>39</v>
      </c>
      <c r="L12" s="5">
        <v>1706.184</v>
      </c>
      <c r="M12" s="5">
        <v>9</v>
      </c>
      <c r="N12" s="5">
        <v>85.309200000000004</v>
      </c>
    </row>
    <row r="13" spans="1:14" ht="15.75" x14ac:dyDescent="0.25">
      <c r="A13" s="4">
        <v>42253</v>
      </c>
      <c r="B13" s="4" t="s">
        <v>41</v>
      </c>
      <c r="C13" s="5" t="s">
        <v>34</v>
      </c>
      <c r="D13" s="5" t="s">
        <v>42</v>
      </c>
      <c r="E13" s="5" t="s">
        <v>43</v>
      </c>
      <c r="F13" s="5" t="s">
        <v>17</v>
      </c>
      <c r="G13" s="5" t="s">
        <v>28</v>
      </c>
      <c r="H13" s="5" t="s">
        <v>29</v>
      </c>
      <c r="I13" s="5" t="s">
        <v>30</v>
      </c>
      <c r="J13" s="5" t="s">
        <v>46</v>
      </c>
      <c r="K13" s="5" t="s">
        <v>47</v>
      </c>
      <c r="L13" s="5">
        <v>911.42399999999998</v>
      </c>
      <c r="M13" s="5">
        <v>4</v>
      </c>
      <c r="N13" s="5">
        <v>68.356800000000007</v>
      </c>
    </row>
    <row r="14" spans="1:14" ht="15.75" x14ac:dyDescent="0.25">
      <c r="A14" s="4" t="s">
        <v>50</v>
      </c>
      <c r="B14" s="4" t="s">
        <v>51</v>
      </c>
      <c r="C14" s="5" t="s">
        <v>34</v>
      </c>
      <c r="D14" s="5" t="s">
        <v>52</v>
      </c>
      <c r="E14" s="5" t="s">
        <v>53</v>
      </c>
      <c r="F14" s="5" t="s">
        <v>17</v>
      </c>
      <c r="G14" s="5" t="s">
        <v>54</v>
      </c>
      <c r="H14" s="5" t="s">
        <v>55</v>
      </c>
      <c r="I14" s="5" t="s">
        <v>20</v>
      </c>
      <c r="J14" s="5" t="s">
        <v>31</v>
      </c>
      <c r="K14" s="5" t="s">
        <v>56</v>
      </c>
      <c r="L14" s="5">
        <v>15.552</v>
      </c>
      <c r="M14" s="5">
        <v>3</v>
      </c>
      <c r="N14" s="5">
        <v>5.4432</v>
      </c>
    </row>
    <row r="15" spans="1:14" ht="15.75" x14ac:dyDescent="0.25">
      <c r="A15" s="4">
        <v>42867</v>
      </c>
      <c r="B15" s="4">
        <v>43020</v>
      </c>
      <c r="C15" s="5" t="s">
        <v>34</v>
      </c>
      <c r="D15" s="5" t="s">
        <v>57</v>
      </c>
      <c r="E15" s="5" t="s">
        <v>58</v>
      </c>
      <c r="F15" s="5" t="s">
        <v>17</v>
      </c>
      <c r="G15" s="5" t="s">
        <v>59</v>
      </c>
      <c r="H15" s="5" t="s">
        <v>60</v>
      </c>
      <c r="I15" s="5" t="s">
        <v>30</v>
      </c>
      <c r="J15" s="5" t="s">
        <v>31</v>
      </c>
      <c r="K15" s="5" t="s">
        <v>48</v>
      </c>
      <c r="L15" s="5">
        <v>407.976</v>
      </c>
      <c r="M15" s="5">
        <v>3</v>
      </c>
      <c r="N15" s="5">
        <v>132.59219999999999</v>
      </c>
    </row>
    <row r="16" spans="1:14" ht="15.75" x14ac:dyDescent="0.25">
      <c r="A16" s="4" t="s">
        <v>61</v>
      </c>
      <c r="B16" s="4" t="s">
        <v>62</v>
      </c>
      <c r="C16" s="5" t="s">
        <v>34</v>
      </c>
      <c r="D16" s="5" t="s">
        <v>63</v>
      </c>
      <c r="E16" s="5" t="s">
        <v>64</v>
      </c>
      <c r="F16" s="5" t="s">
        <v>65</v>
      </c>
      <c r="G16" s="5" t="s">
        <v>66</v>
      </c>
      <c r="H16" s="5" t="s">
        <v>67</v>
      </c>
      <c r="I16" s="5" t="s">
        <v>68</v>
      </c>
      <c r="J16" s="5" t="s">
        <v>31</v>
      </c>
      <c r="K16" s="5" t="s">
        <v>49</v>
      </c>
      <c r="L16" s="5">
        <v>68.81</v>
      </c>
      <c r="M16" s="5">
        <v>5</v>
      </c>
      <c r="N16" s="5">
        <v>-123.858</v>
      </c>
    </row>
    <row r="17" spans="1:14" ht="15.75" x14ac:dyDescent="0.25">
      <c r="A17" s="4" t="s">
        <v>61</v>
      </c>
      <c r="B17" s="4" t="s">
        <v>62</v>
      </c>
      <c r="C17" s="5" t="s">
        <v>34</v>
      </c>
      <c r="D17" s="5" t="s">
        <v>63</v>
      </c>
      <c r="E17" s="5" t="s">
        <v>64</v>
      </c>
      <c r="F17" s="5" t="s">
        <v>65</v>
      </c>
      <c r="G17" s="5" t="s">
        <v>66</v>
      </c>
      <c r="H17" s="5" t="s">
        <v>67</v>
      </c>
      <c r="I17" s="5" t="s">
        <v>68</v>
      </c>
      <c r="J17" s="5" t="s">
        <v>31</v>
      </c>
      <c r="K17" s="5" t="s">
        <v>48</v>
      </c>
      <c r="L17" s="5">
        <v>2.544</v>
      </c>
      <c r="M17" s="5">
        <v>3</v>
      </c>
      <c r="N17" s="5">
        <v>-3.8159999999999998</v>
      </c>
    </row>
    <row r="18" spans="1:14" ht="15.75" x14ac:dyDescent="0.25">
      <c r="A18" s="4">
        <v>42319</v>
      </c>
      <c r="B18" s="4" t="s">
        <v>69</v>
      </c>
      <c r="C18" s="5" t="s">
        <v>34</v>
      </c>
      <c r="D18" s="5" t="s">
        <v>70</v>
      </c>
      <c r="E18" s="5" t="s">
        <v>71</v>
      </c>
      <c r="F18" s="5" t="s">
        <v>17</v>
      </c>
      <c r="G18" s="5" t="s">
        <v>72</v>
      </c>
      <c r="H18" s="5" t="s">
        <v>73</v>
      </c>
      <c r="I18" s="5" t="s">
        <v>68</v>
      </c>
      <c r="J18" s="5" t="s">
        <v>31</v>
      </c>
      <c r="K18" s="5" t="s">
        <v>40</v>
      </c>
      <c r="L18" s="5">
        <v>665.88</v>
      </c>
      <c r="M18" s="5">
        <v>6</v>
      </c>
      <c r="N18" s="5">
        <v>13.317600000000001</v>
      </c>
    </row>
    <row r="19" spans="1:14" ht="15.75" x14ac:dyDescent="0.25">
      <c r="A19" s="4" t="s">
        <v>74</v>
      </c>
      <c r="B19" s="4" t="s">
        <v>75</v>
      </c>
      <c r="C19" s="5" t="s">
        <v>14</v>
      </c>
      <c r="D19" s="5" t="s">
        <v>76</v>
      </c>
      <c r="E19" s="5" t="s">
        <v>77</v>
      </c>
      <c r="F19" s="5" t="s">
        <v>17</v>
      </c>
      <c r="G19" s="5" t="s">
        <v>78</v>
      </c>
      <c r="H19" s="5" t="s">
        <v>79</v>
      </c>
      <c r="I19" s="5" t="s">
        <v>30</v>
      </c>
      <c r="J19" s="5" t="s">
        <v>31</v>
      </c>
      <c r="K19" s="5" t="s">
        <v>40</v>
      </c>
      <c r="L19" s="5">
        <v>55.5</v>
      </c>
      <c r="M19" s="5">
        <v>2</v>
      </c>
      <c r="N19" s="5">
        <v>9.99</v>
      </c>
    </row>
    <row r="20" spans="1:14" ht="15.75" x14ac:dyDescent="0.25">
      <c r="A20" s="4" t="s">
        <v>80</v>
      </c>
      <c r="B20" s="4">
        <v>42013</v>
      </c>
      <c r="C20" s="5" t="s">
        <v>14</v>
      </c>
      <c r="D20" s="5" t="s">
        <v>81</v>
      </c>
      <c r="E20" s="5" t="s">
        <v>82</v>
      </c>
      <c r="F20" s="5" t="s">
        <v>17</v>
      </c>
      <c r="G20" s="5" t="s">
        <v>83</v>
      </c>
      <c r="H20" s="5" t="s">
        <v>29</v>
      </c>
      <c r="I20" s="5" t="s">
        <v>30</v>
      </c>
      <c r="J20" s="5" t="s">
        <v>31</v>
      </c>
      <c r="K20" s="5" t="s">
        <v>45</v>
      </c>
      <c r="L20" s="5">
        <v>8.56</v>
      </c>
      <c r="M20" s="5">
        <v>2</v>
      </c>
      <c r="N20" s="5">
        <v>2.4824000000000002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2026-04-07T11:12:10Z</dcterms:created>
  <dcterms:modified xsi:type="dcterms:W3CDTF">2026-04-14T15:00:04Z</dcterms:modified>
</cp:coreProperties>
</file>